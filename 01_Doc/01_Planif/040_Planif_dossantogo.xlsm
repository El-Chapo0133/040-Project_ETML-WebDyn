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K:\INF\Eleves\Enseignement\ModulesProjet_NewOrdo\040-Web2\CIN2B\dossantogo-levequelo\01_Doc\01_Planif\"/>
    </mc:Choice>
  </mc:AlternateContent>
  <bookViews>
    <workbookView xWindow="0" yWindow="0" windowWidth="18870" windowHeight="7725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  <sheet name="Planning" sheetId="157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223" i="157" l="1"/>
  <c r="B209" i="157"/>
  <c r="B195" i="157"/>
  <c r="B181" i="157"/>
  <c r="B167" i="157"/>
  <c r="B153" i="157"/>
  <c r="B139" i="157"/>
  <c r="B125" i="157"/>
  <c r="B111" i="157"/>
  <c r="B97" i="157"/>
  <c r="B83" i="157"/>
  <c r="B69" i="157"/>
  <c r="B55" i="157"/>
  <c r="B41" i="157"/>
  <c r="B27" i="157"/>
  <c r="B13" i="157"/>
  <c r="D286" i="156"/>
  <c r="D267" i="156"/>
  <c r="D248" i="156"/>
  <c r="D229" i="156"/>
  <c r="D210" i="156"/>
  <c r="D191" i="156"/>
  <c r="D172" i="156"/>
  <c r="D153" i="156"/>
  <c r="D134" i="156"/>
  <c r="D115" i="156"/>
  <c r="D96" i="156"/>
  <c r="D77" i="156"/>
  <c r="D58" i="156"/>
  <c r="D39" i="156"/>
  <c r="D20" i="156"/>
  <c r="D1" i="156"/>
  <c r="B303" i="156"/>
  <c r="B284" i="156"/>
  <c r="B265" i="156"/>
  <c r="B246" i="156"/>
  <c r="B227" i="156"/>
  <c r="B208" i="156"/>
  <c r="B189" i="156"/>
  <c r="B170" i="156"/>
  <c r="B151" i="156"/>
  <c r="B132" i="156"/>
  <c r="B113" i="156"/>
  <c r="B94" i="156"/>
  <c r="B75" i="156"/>
  <c r="B56" i="156"/>
  <c r="B37" i="156"/>
  <c r="B18" i="156"/>
  <c r="B18" i="154" l="1"/>
  <c r="B13" i="11" l="1"/>
</calcChain>
</file>

<file path=xl/sharedStrings.xml><?xml version="1.0" encoding="utf-8"?>
<sst xmlns="http://schemas.openxmlformats.org/spreadsheetml/2006/main" count="408" uniqueCount="92">
  <si>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</si>
  <si>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</si>
  <si>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</si>
  <si>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</si>
  <si>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</si>
  <si>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</si>
  <si>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</si>
  <si>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</si>
  <si>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</si>
  <si>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</si>
  <si>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</si>
  <si>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</si>
  <si>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</si>
  <si>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</si>
  <si>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</si>
  <si>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</si>
  <si>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</si>
  <si>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</si>
  <si>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</si>
  <si>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</si>
  <si>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</si>
  <si>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</si>
  <si>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</si>
  <si>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</si>
  <si>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040_Web-Dynamique</t>
  </si>
  <si>
    <t>dos Santos de Pereira da Silva Gonçalo</t>
  </si>
  <si>
    <t>CIN2B</t>
  </si>
  <si>
    <t>ETML</t>
  </si>
  <si>
    <t>Planification</t>
  </si>
  <si>
    <t>Journal de Travail</t>
  </si>
  <si>
    <t>Maquette</t>
  </si>
  <si>
    <t>Choix ecoconception</t>
  </si>
  <si>
    <t>Page d'accoeuil</t>
  </si>
  <si>
    <t>Présentation</t>
  </si>
  <si>
    <t>Rendu du projet</t>
  </si>
  <si>
    <t>Creation de base de données</t>
  </si>
  <si>
    <t>Page recettes</t>
  </si>
  <si>
    <t>Page d'ajout de recette</t>
  </si>
  <si>
    <t>Page contact</t>
  </si>
  <si>
    <t>Max. 12</t>
  </si>
  <si>
    <t>STOP</t>
  </si>
  <si>
    <t>Rapport</t>
  </si>
  <si>
    <t>Recherches Internet</t>
  </si>
  <si>
    <t>Auto Evaluation</t>
  </si>
  <si>
    <t>Si le temps le permets</t>
  </si>
  <si>
    <t>Schéma UML</t>
  </si>
  <si>
    <t>Documentation</t>
  </si>
  <si>
    <t>Tests</t>
  </si>
  <si>
    <t>Explication Projet</t>
  </si>
  <si>
    <t>Explication du projet par Monsieur Mveng</t>
  </si>
  <si>
    <t>Une personne douée assise derriere un bureau</t>
  </si>
  <si>
    <t>Creation de la planification du projet</t>
  </si>
  <si>
    <t>Rappatriement des traveaux fait durant la journée</t>
  </si>
  <si>
    <t>Début des présenations des projets</t>
  </si>
  <si>
    <t>Continuation des présenations des projets</t>
  </si>
  <si>
    <t>Choix du théme bootstrap</t>
  </si>
  <si>
    <t>https://startbootstrap.com/template-overviews/blog-post/
https://startbootstrap.com/template-overviews/1-col-portfolio/
https://blackrockdigital.github.io/startbootstrap-one-page-wonder/#</t>
  </si>
  <si>
    <t>Choix do théme et des templates bootstrap</t>
  </si>
  <si>
    <t>Creation d'un compte github, partage des fichiers dans git hub</t>
  </si>
  <si>
    <t xml:space="preserve">https://github.com/El-Chapo0133/040-Project_ETML-WebDyn
</t>
  </si>
  <si>
    <t>Chois des ecoConceptions</t>
  </si>
  <si>
    <t>Remplissage du document d'autoevaluation</t>
  </si>
  <si>
    <t>Conclusion personnelle, generale, et contructive (personelle)</t>
  </si>
  <si>
    <t>Explication des tests réalisés</t>
  </si>
  <si>
    <t>Description de la réalisation du projet</t>
  </si>
  <si>
    <t>Ajout de commentaires et explications dans le code</t>
  </si>
  <si>
    <t>Analyse générale du programme</t>
  </si>
  <si>
    <t>Mise à jour du schémas UML</t>
  </si>
  <si>
    <t>https://checklists.opquast.com/fr/oqs-v3/</t>
  </si>
  <si>
    <t>https://www.etml.ch/contact.html
https://fooby.ch/fr.html
https://www.cuisineaz.com/</t>
  </si>
  <si>
    <t>Modification du code bootstrap pour qu'il aie nos besoins.</t>
  </si>
  <si>
    <t>Creation de la maquette en se basant sur les bootstrap choisis</t>
  </si>
  <si>
    <t>Rappatriement des travaux fait durant la journée</t>
  </si>
  <si>
    <t>Âjout de quelques tâches dans la planification</t>
  </si>
  <si>
    <t>Creation de la liste des repas différents</t>
  </si>
  <si>
    <t>Recherche d'une bonne recette par défaut pour ajoputer au menu.</t>
  </si>
  <si>
    <t>https://www.gqmagazine.fr/lifestyle/news/articles/on-connait-enfin-la-recette-secrete-du-poulet-frit-de-kfc/66311</t>
  </si>
  <si>
    <t xml:space="preserve">Creation de la maquette du site. Avec Pencil Project.  100% fini   Sites d'inspiration ---&gt; </t>
  </si>
  <si>
    <t>Modification du code bootstrap pour que la page soie comme voulue, La page fonctionne et une recette à été mise par défaut. La liste des ingrédient a une margin un peut trop grande ce qui m'empeche de faire passer la recette à droite de la liste. La page a un seul widget et le menu de navigation à été modifié avec les noms des menus désirés. Le design ressemble à la maquette. 80% terminé</t>
  </si>
  <si>
    <t>https://logojoy.com</t>
  </si>
  <si>
    <t>Essai de changement de couleur set de thémes en modifiant le bootstrap. Une erreur de uwamp m'empéchait de voir le résultat. A revoir 20% terminé</t>
  </si>
  <si>
    <t>Creation du rapport (template) avec les thémes de base souhaités. 100% fini
Recherche d'un design original avec logojoy.100% fini</t>
  </si>
  <si>
    <t>Organisation des documents pour travailler de manière plus efficace pour les prochaines seances. Organisation du git et mise à jour des documents modifiés.</t>
  </si>
  <si>
    <t xml:space="preserve">https://sass-lang.com/install
</t>
  </si>
  <si>
    <t>Page Login</t>
  </si>
  <si>
    <t>Page Inscription</t>
  </si>
  <si>
    <t>Remplissage du journal de travail</t>
  </si>
  <si>
    <t>https://codepen.io/sfoxy/pen/XpOoJe</t>
  </si>
  <si>
    <t>https://www.tutorialrepublic.com/codelab.php?topic=bootstrap&amp;file=classic-modal-login-form-with-avatar-icon</t>
  </si>
  <si>
    <t>Essaie de changement de couleur. Découvert le SASS et le fichier SCSS 100% fini</t>
  </si>
  <si>
    <t>Creation du formulaire d'inscription et ajout d'un boutton 80% (Verifications à ajouter)</t>
  </si>
  <si>
    <t>Recherche d'une page de login qui apparaitra au click d'un boutton (Page trouvée à ajouter dans le code)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</si>
</sst>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3" xfId="0" applyFont="1" applyFill="1" applyBorder="1" applyAlignment="1" applyProtection="1">
      <alignment horizontal="left" vertical="top" wrapText="1"/>
      <protection locked="0"/>
    </xf>
    <xf numFmtId="0" fontId="1" fillId="0" borderId="1" xfId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utorialrepublic.com/codelab.php?topic=bootstrap&amp;file=classic-modal-login-form-with-avatar-icon" TargetMode="External"/><Relationship Id="rId13" Type="http://schemas.openxmlformats.org/officeDocument/2006/relationships/image" Target="../media/image7.emf"/><Relationship Id="rId3" Type="http://schemas.openxmlformats.org/officeDocument/2006/relationships/hyperlink" Target="https://checklists.opquast.com/fr/oqs-v3/" TargetMode="External"/><Relationship Id="rId7" Type="http://schemas.openxmlformats.org/officeDocument/2006/relationships/hyperlink" Target="https://codepen.io/sfoxy/pen/XpOoJe" TargetMode="External"/><Relationship Id="rId12" Type="http://schemas.openxmlformats.org/officeDocument/2006/relationships/control" Target="../activeX/activeX6.xml"/><Relationship Id="rId2" Type="http://schemas.openxmlformats.org/officeDocument/2006/relationships/hyperlink" Target="https://github.com/El-Chapo0133/040-Project_ETML-WebDyn" TargetMode="External"/><Relationship Id="rId1" Type="http://schemas.openxmlformats.org/officeDocument/2006/relationships/hyperlink" Target="https://startbootstrap.com/template-overviews/blog-post/" TargetMode="External"/><Relationship Id="rId6" Type="http://schemas.openxmlformats.org/officeDocument/2006/relationships/hyperlink" Target="https://sass-lang.com/install" TargetMode="External"/><Relationship Id="rId11" Type="http://schemas.openxmlformats.org/officeDocument/2006/relationships/vmlDrawing" Target="../drawings/vmlDrawing5.vml"/><Relationship Id="rId5" Type="http://schemas.openxmlformats.org/officeDocument/2006/relationships/hyperlink" Target="https://logojoy.com/" TargetMode="External"/><Relationship Id="rId10" Type="http://schemas.openxmlformats.org/officeDocument/2006/relationships/drawing" Target="../drawings/drawing4.xml"/><Relationship Id="rId4" Type="http://schemas.openxmlformats.org/officeDocument/2006/relationships/hyperlink" Target="https://www.gqmagazine.fr/lifestyle/news/articles/on-connait-enfin-la-recette-secrete-du-poulet-frit-de-kfc/66311" TargetMode="External"/><Relationship Id="rId9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C22" zoomScaleNormal="100" zoomScaleSheetLayoutView="100" workbookViewId="0">
      <selection activeCell="C43" sqref="C4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43479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43612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16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6" t="s">
        <v>19</v>
      </c>
      <c r="C19" s="97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33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34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32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36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37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38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41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42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43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44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45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46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47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48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 t="s">
        <v>84</v>
      </c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 t="s">
        <v>85</v>
      </c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8" t="s">
        <v>21</v>
      </c>
      <c r="C3" s="16">
        <v>0</v>
      </c>
    </row>
    <row r="4" spans="1:4" ht="19.5" customHeight="1" x14ac:dyDescent="0.25">
      <c r="A4" s="19"/>
      <c r="B4" s="99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05"/>
  <sheetViews>
    <sheetView tabSelected="1" topLeftCell="A64" workbookViewId="0">
      <selection activeCell="B88" sqref="B8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43479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77.25" thickBot="1" x14ac:dyDescent="0.3">
      <c r="A3" s="5" t="s">
        <v>30</v>
      </c>
      <c r="B3" s="4">
        <v>2</v>
      </c>
      <c r="C3" s="91" t="s">
        <v>57</v>
      </c>
      <c r="D3" s="94" t="s">
        <v>56</v>
      </c>
    </row>
    <row r="4" spans="1:4" s="53" customFormat="1" x14ac:dyDescent="0.25">
      <c r="A4" s="1" t="s">
        <v>48</v>
      </c>
      <c r="B4" s="2">
        <v>3</v>
      </c>
      <c r="C4" s="91" t="s">
        <v>49</v>
      </c>
      <c r="D4" s="91" t="s">
        <v>50</v>
      </c>
    </row>
    <row r="5" spans="1:4" s="53" customFormat="1" ht="39" thickBot="1" x14ac:dyDescent="0.3">
      <c r="A5" s="1" t="s">
        <v>28</v>
      </c>
      <c r="B5" s="2">
        <v>3</v>
      </c>
      <c r="C5" s="92" t="s">
        <v>58</v>
      </c>
      <c r="D5" s="95" t="s">
        <v>59</v>
      </c>
    </row>
    <row r="6" spans="1:4" s="53" customFormat="1" x14ac:dyDescent="0.25">
      <c r="A6" s="5" t="s">
        <v>30</v>
      </c>
      <c r="B6" s="2">
        <v>1</v>
      </c>
      <c r="C6" s="92" t="s">
        <v>55</v>
      </c>
      <c r="D6" s="10"/>
    </row>
    <row r="7" spans="1:4" s="53" customFormat="1" x14ac:dyDescent="0.25">
      <c r="A7" s="1" t="s">
        <v>31</v>
      </c>
      <c r="B7" s="2">
        <v>3</v>
      </c>
      <c r="C7" s="92" t="s">
        <v>60</v>
      </c>
      <c r="D7" s="95" t="s">
        <v>68</v>
      </c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90" t="s">
        <v>39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43486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40.5" x14ac:dyDescent="0.25">
      <c r="A22" s="5" t="s">
        <v>30</v>
      </c>
      <c r="B22" s="4">
        <v>10</v>
      </c>
      <c r="C22" s="91" t="s">
        <v>77</v>
      </c>
      <c r="D22" s="91" t="s">
        <v>69</v>
      </c>
    </row>
    <row r="23" spans="1:9" ht="14.25" thickBot="1" x14ac:dyDescent="0.3">
      <c r="A23" s="1" t="s">
        <v>29</v>
      </c>
      <c r="B23" s="2">
        <v>1</v>
      </c>
      <c r="C23" s="93" t="s">
        <v>72</v>
      </c>
      <c r="D23" s="10"/>
    </row>
    <row r="24" spans="1:9" x14ac:dyDescent="0.25">
      <c r="A24" s="1" t="s">
        <v>28</v>
      </c>
      <c r="B24" s="2">
        <v>1</v>
      </c>
      <c r="C24" s="92" t="s">
        <v>73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90" t="s">
        <v>39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43493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38.25" x14ac:dyDescent="0.25">
      <c r="A41" s="5" t="s">
        <v>42</v>
      </c>
      <c r="B41" s="4">
        <v>1</v>
      </c>
      <c r="C41" s="91" t="s">
        <v>75</v>
      </c>
      <c r="D41" s="94" t="s">
        <v>76</v>
      </c>
    </row>
    <row r="42" spans="1:9" ht="67.5" x14ac:dyDescent="0.25">
      <c r="A42" s="1" t="s">
        <v>36</v>
      </c>
      <c r="B42" s="2">
        <v>11</v>
      </c>
      <c r="C42" s="92" t="s">
        <v>78</v>
      </c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90" t="s">
        <v>39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43500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27" x14ac:dyDescent="0.25">
      <c r="A60" s="5" t="s">
        <v>41</v>
      </c>
      <c r="B60" s="4">
        <v>6</v>
      </c>
      <c r="C60" s="91" t="s">
        <v>81</v>
      </c>
      <c r="D60" s="94" t="s">
        <v>79</v>
      </c>
    </row>
    <row r="61" spans="1:4" ht="27" x14ac:dyDescent="0.25">
      <c r="A61" s="1" t="s">
        <v>36</v>
      </c>
      <c r="B61" s="2">
        <v>4</v>
      </c>
      <c r="C61" s="92" t="s">
        <v>80</v>
      </c>
      <c r="D61" s="10"/>
    </row>
    <row r="62" spans="1:4" ht="27" x14ac:dyDescent="0.25">
      <c r="A62" s="1" t="s">
        <v>46</v>
      </c>
      <c r="B62" s="2">
        <v>2</v>
      </c>
      <c r="C62" s="92" t="s">
        <v>82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90" t="s">
        <v>39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43507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5.5" x14ac:dyDescent="0.25">
      <c r="A79" s="5" t="s">
        <v>36</v>
      </c>
      <c r="B79" s="4">
        <v>5</v>
      </c>
      <c r="C79" s="91" t="s">
        <v>89</v>
      </c>
      <c r="D79" s="94" t="s">
        <v>83</v>
      </c>
    </row>
    <row r="80" spans="1:4" ht="38.25" x14ac:dyDescent="0.25">
      <c r="A80" s="1" t="s">
        <v>84</v>
      </c>
      <c r="B80" s="2">
        <v>1</v>
      </c>
      <c r="C80" s="92" t="s">
        <v>91</v>
      </c>
      <c r="D80" s="95" t="s">
        <v>88</v>
      </c>
    </row>
    <row r="81" spans="1:4" x14ac:dyDescent="0.25">
      <c r="A81" s="1" t="s">
        <v>85</v>
      </c>
      <c r="B81" s="2">
        <v>5</v>
      </c>
      <c r="C81" s="92" t="s">
        <v>90</v>
      </c>
      <c r="D81" s="95" t="s">
        <v>87</v>
      </c>
    </row>
    <row r="82" spans="1:4" x14ac:dyDescent="0.25">
      <c r="A82" s="1" t="s">
        <v>29</v>
      </c>
      <c r="B82" s="2">
        <v>1</v>
      </c>
      <c r="C82" s="92" t="s">
        <v>86</v>
      </c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90" t="s">
        <v>39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43514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0" t="s">
        <v>39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43521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0" t="s">
        <v>39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43528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0" t="s">
        <v>39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43535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90" t="s">
        <v>39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43542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90" t="s">
        <v>39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$D$172+7</f>
        <v>43549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0</v>
      </c>
      <c r="C208" s="90" t="s">
        <v>39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$D$191+7</f>
        <v>43556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0</v>
      </c>
      <c r="C227" s="90" t="s">
        <v>39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$D$210+7</f>
        <v>43563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0</v>
      </c>
      <c r="C246" s="90" t="s">
        <v>39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$D$229+7</f>
        <v>43570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0</v>
      </c>
      <c r="C265" s="90" t="s">
        <v>39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$D$248+7</f>
        <v>43577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0</v>
      </c>
      <c r="C284" s="90" t="s">
        <v>39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$D$267+7</f>
        <v>43584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0</v>
      </c>
      <c r="C303" s="90" t="s">
        <v>39</v>
      </c>
      <c r="D303" s="49"/>
    </row>
    <row r="304" spans="1:4" ht="14.25" x14ac:dyDescent="0.3">
      <c r="A304" s="50"/>
      <c r="B304" s="50"/>
      <c r="C304" s="50"/>
      <c r="D304" s="50"/>
    </row>
    <row r="305" spans="1:1" x14ac:dyDescent="0.25">
      <c r="A305" s="89" t="s">
        <v>40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288:B302 B22:B36 B41:B55 B60:B74 B79:B93 B98:B112 B117:B131 B136:B150 B155:B169 B174:B188 B193:B207 B212:B226 B231:B245 B250:B264 B269:B283 B3:B17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">
      <formula1>0</formula1>
      <formula2>NbPerWeek * NbQuartPer</formula2>
    </dataValidation>
    <dataValidation type="list" allowBlank="1" showInputMessage="1" showErrorMessage="1" sqref="A288:A302 A22:A36 A41:A55 A60:A74 A79:A93 A98:A112 A117:A131 A136:A150 A155:A169 A174:A188 A193:A207 A212:A226 A231:A245 A250:A264 A269:A283 A3:A17">
      <formula1>lstTasks</formula1>
    </dataValidation>
  </dataValidations>
  <hyperlinks>
    <hyperlink ref="D3" r:id="rId1" display="https://startbootstrap.com/template-overviews/blog-post/"/>
    <hyperlink ref="D5" r:id="rId2"/>
    <hyperlink ref="D7" r:id="rId3"/>
    <hyperlink ref="D41" r:id="rId4"/>
    <hyperlink ref="D60" r:id="rId5"/>
    <hyperlink ref="D79" r:id="rId6"/>
    <hyperlink ref="D81" r:id="rId7"/>
    <hyperlink ref="D80" r:id="rId8"/>
  </hyperlinks>
  <pageMargins left="0.7" right="0.7" top="0.75" bottom="0.75" header="0.3" footer="0.3"/>
  <pageSetup paperSize="9" orientation="portrait" r:id="rId9"/>
  <drawing r:id="rId10"/>
  <legacyDrawing r:id="rId11"/>
  <controls>
    <mc:AlternateContent xmlns:mc="http://schemas.openxmlformats.org/markup-compatibility/2006">
      <mc:Choice Requires="x14">
        <control shapeId="43009" r:id="rId12" name="btnImportRealisation">
          <controlPr defaultSize="0" autoLine="0" r:id="rId13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12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25"/>
  <sheetViews>
    <sheetView topLeftCell="A7" workbookViewId="0">
      <selection activeCell="C32" sqref="C3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48</v>
      </c>
      <c r="B3" s="4">
        <v>3</v>
      </c>
      <c r="C3" s="91" t="s">
        <v>49</v>
      </c>
      <c r="D3" s="91" t="s">
        <v>50</v>
      </c>
    </row>
    <row r="4" spans="1:4" s="53" customFormat="1" ht="14.25" thickBot="1" x14ac:dyDescent="0.3">
      <c r="A4" s="1" t="s">
        <v>28</v>
      </c>
      <c r="B4" s="2">
        <v>4</v>
      </c>
      <c r="C4" s="92" t="s">
        <v>51</v>
      </c>
      <c r="D4" s="10"/>
    </row>
    <row r="5" spans="1:4" s="53" customFormat="1" x14ac:dyDescent="0.25">
      <c r="A5" s="5" t="s">
        <v>30</v>
      </c>
      <c r="B5" s="2">
        <v>1</v>
      </c>
      <c r="C5" s="92" t="s">
        <v>55</v>
      </c>
      <c r="D5" s="10"/>
    </row>
    <row r="6" spans="1:4" s="53" customFormat="1" x14ac:dyDescent="0.25">
      <c r="A6" s="1" t="s">
        <v>31</v>
      </c>
      <c r="B6" s="2">
        <v>3</v>
      </c>
      <c r="C6" s="92" t="s">
        <v>60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 t="s">
        <v>29</v>
      </c>
      <c r="B12" s="3">
        <v>1</v>
      </c>
      <c r="C12" s="93" t="s">
        <v>52</v>
      </c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39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30</v>
      </c>
      <c r="B17" s="4">
        <v>11</v>
      </c>
      <c r="C17" s="91" t="s">
        <v>71</v>
      </c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 t="s">
        <v>29</v>
      </c>
      <c r="B26" s="3">
        <v>1</v>
      </c>
      <c r="C26" s="93" t="s">
        <v>52</v>
      </c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39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32</v>
      </c>
      <c r="B31" s="4">
        <v>9</v>
      </c>
      <c r="C31" s="91" t="s">
        <v>70</v>
      </c>
      <c r="D31" s="9"/>
      <c r="E31" s="20"/>
      <c r="F31" s="41"/>
      <c r="G31" s="41"/>
      <c r="H31" s="41"/>
      <c r="I31" s="20"/>
    </row>
    <row r="32" spans="1:9" x14ac:dyDescent="0.25">
      <c r="A32" s="1" t="s">
        <v>30</v>
      </c>
      <c r="B32" s="2">
        <v>2</v>
      </c>
      <c r="C32" s="92" t="s">
        <v>74</v>
      </c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 t="s">
        <v>29</v>
      </c>
      <c r="B40" s="3">
        <v>1</v>
      </c>
      <c r="C40" s="93" t="s">
        <v>52</v>
      </c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39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36</v>
      </c>
      <c r="B45" s="4">
        <v>11</v>
      </c>
      <c r="C45" s="91" t="s">
        <v>70</v>
      </c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 t="s">
        <v>29</v>
      </c>
      <c r="B54" s="3">
        <v>1</v>
      </c>
      <c r="C54" s="93" t="s">
        <v>52</v>
      </c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39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 t="s">
        <v>29</v>
      </c>
      <c r="B68" s="3">
        <v>1</v>
      </c>
      <c r="C68" s="93" t="s">
        <v>52</v>
      </c>
      <c r="D68" s="11"/>
    </row>
    <row r="69" spans="1:4" ht="14.25" thickBot="1" x14ac:dyDescent="0.3">
      <c r="A69" s="12" t="s">
        <v>22</v>
      </c>
      <c r="B69" s="12">
        <f>SUM(B59:B68)</f>
        <v>1</v>
      </c>
      <c r="C69" s="88" t="s">
        <v>39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 t="s">
        <v>29</v>
      </c>
      <c r="B82" s="3">
        <v>1</v>
      </c>
      <c r="C82" s="93" t="s">
        <v>52</v>
      </c>
      <c r="D82" s="11"/>
    </row>
    <row r="83" spans="1:4" ht="14.25" thickBot="1" x14ac:dyDescent="0.3">
      <c r="A83" s="12" t="s">
        <v>22</v>
      </c>
      <c r="B83" s="12">
        <f>SUM(B73:B82)</f>
        <v>1</v>
      </c>
      <c r="C83" s="88" t="s">
        <v>39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 t="s">
        <v>29</v>
      </c>
      <c r="B96" s="3">
        <v>1</v>
      </c>
      <c r="C96" s="93" t="s">
        <v>52</v>
      </c>
      <c r="D96" s="11"/>
    </row>
    <row r="97" spans="1:4" ht="14.25" thickBot="1" x14ac:dyDescent="0.3">
      <c r="A97" s="12" t="s">
        <v>22</v>
      </c>
      <c r="B97" s="12">
        <f>SUM(B87:B96)</f>
        <v>1</v>
      </c>
      <c r="C97" s="88" t="s">
        <v>39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 t="s">
        <v>29</v>
      </c>
      <c r="B110" s="3">
        <v>1</v>
      </c>
      <c r="C110" s="93" t="s">
        <v>52</v>
      </c>
      <c r="D110" s="11"/>
    </row>
    <row r="111" spans="1:4" ht="14.25" thickBot="1" x14ac:dyDescent="0.3">
      <c r="A111" s="12" t="s">
        <v>22</v>
      </c>
      <c r="B111" s="12">
        <f>SUM(B101:B110)</f>
        <v>1</v>
      </c>
      <c r="C111" s="88" t="s">
        <v>39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 t="s">
        <v>29</v>
      </c>
      <c r="B124" s="3">
        <v>1</v>
      </c>
      <c r="C124" s="93" t="s">
        <v>52</v>
      </c>
      <c r="D124" s="11"/>
    </row>
    <row r="125" spans="1:4" ht="14.25" thickBot="1" x14ac:dyDescent="0.3">
      <c r="A125" s="12" t="s">
        <v>22</v>
      </c>
      <c r="B125" s="12">
        <f>SUM(B115:B124)</f>
        <v>1</v>
      </c>
      <c r="C125" s="88" t="s">
        <v>39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 t="s">
        <v>29</v>
      </c>
      <c r="B138" s="3">
        <v>1</v>
      </c>
      <c r="C138" s="93" t="s">
        <v>52</v>
      </c>
      <c r="D138" s="11"/>
    </row>
    <row r="139" spans="1:4" ht="14.25" thickBot="1" x14ac:dyDescent="0.3">
      <c r="A139" s="12" t="s">
        <v>22</v>
      </c>
      <c r="B139" s="12">
        <f>SUM(B129:B138)</f>
        <v>1</v>
      </c>
      <c r="C139" s="88" t="s">
        <v>39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2" t="s">
        <v>45</v>
      </c>
      <c r="B143" s="2">
        <v>6</v>
      </c>
      <c r="C143" s="92" t="s">
        <v>67</v>
      </c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92"/>
      <c r="D150" s="10"/>
    </row>
    <row r="151" spans="1:4" x14ac:dyDescent="0.25">
      <c r="A151" s="2" t="s">
        <v>41</v>
      </c>
      <c r="B151" s="2">
        <v>5</v>
      </c>
      <c r="C151" s="92" t="s">
        <v>66</v>
      </c>
      <c r="D151" s="10"/>
    </row>
    <row r="152" spans="1:4" ht="14.25" thickBot="1" x14ac:dyDescent="0.3">
      <c r="A152" s="3" t="s">
        <v>29</v>
      </c>
      <c r="B152" s="3">
        <v>1</v>
      </c>
      <c r="C152" s="93" t="s">
        <v>52</v>
      </c>
      <c r="D152" s="11"/>
    </row>
    <row r="153" spans="1:4" ht="14.25" thickBot="1" x14ac:dyDescent="0.3">
      <c r="A153" s="12" t="s">
        <v>22</v>
      </c>
      <c r="B153" s="12">
        <f>SUM(B143:B152)</f>
        <v>12</v>
      </c>
      <c r="C153" s="88" t="s">
        <v>39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1" t="s">
        <v>41</v>
      </c>
      <c r="B165" s="2">
        <v>6</v>
      </c>
      <c r="C165" s="92" t="s">
        <v>64</v>
      </c>
      <c r="D165" s="10"/>
    </row>
    <row r="166" spans="1:4" ht="14.25" thickBot="1" x14ac:dyDescent="0.3">
      <c r="A166" s="3" t="s">
        <v>29</v>
      </c>
      <c r="B166" s="3">
        <v>1</v>
      </c>
      <c r="C166" s="93" t="s">
        <v>52</v>
      </c>
      <c r="D166" s="11"/>
    </row>
    <row r="167" spans="1:4" ht="14.25" thickBot="1" x14ac:dyDescent="0.3">
      <c r="A167" s="12" t="s">
        <v>22</v>
      </c>
      <c r="B167" s="12">
        <f>SUM(B157:B166)</f>
        <v>7</v>
      </c>
      <c r="C167" s="88" t="s">
        <v>39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 t="s">
        <v>46</v>
      </c>
      <c r="B171" s="4">
        <v>4</v>
      </c>
      <c r="C171" s="91" t="s">
        <v>65</v>
      </c>
      <c r="D171" s="9"/>
    </row>
    <row r="172" spans="1:4" x14ac:dyDescent="0.25">
      <c r="A172" s="1" t="s">
        <v>47</v>
      </c>
      <c r="B172" s="2">
        <v>3</v>
      </c>
      <c r="C172" s="10"/>
      <c r="D172" s="10"/>
    </row>
    <row r="173" spans="1:4" x14ac:dyDescent="0.25">
      <c r="A173" s="1" t="s">
        <v>43</v>
      </c>
      <c r="B173" s="2">
        <v>1</v>
      </c>
      <c r="C173" s="92" t="s">
        <v>61</v>
      </c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1" t="s">
        <v>41</v>
      </c>
      <c r="B179" s="2">
        <v>3</v>
      </c>
      <c r="C179" s="92" t="s">
        <v>62</v>
      </c>
      <c r="D179" s="10"/>
    </row>
    <row r="180" spans="1:4" ht="14.25" thickBot="1" x14ac:dyDescent="0.3">
      <c r="A180" s="3" t="s">
        <v>29</v>
      </c>
      <c r="B180" s="3">
        <v>1</v>
      </c>
      <c r="C180" s="93" t="s">
        <v>52</v>
      </c>
      <c r="D180" s="11"/>
    </row>
    <row r="181" spans="1:4" ht="14.25" thickBot="1" x14ac:dyDescent="0.3">
      <c r="A181" s="12" t="s">
        <v>22</v>
      </c>
      <c r="B181" s="12">
        <f>SUM(B171:B180)</f>
        <v>12</v>
      </c>
      <c r="C181" s="88" t="s">
        <v>39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 t="s">
        <v>33</v>
      </c>
      <c r="B185" s="4">
        <v>7</v>
      </c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ht="14.25" thickBot="1" x14ac:dyDescent="0.3">
      <c r="A192" s="2" t="s">
        <v>41</v>
      </c>
      <c r="B192" s="2">
        <v>3</v>
      </c>
      <c r="C192" s="92" t="s">
        <v>63</v>
      </c>
      <c r="D192" s="10"/>
    </row>
    <row r="193" spans="1:4" x14ac:dyDescent="0.25">
      <c r="A193" s="5" t="s">
        <v>34</v>
      </c>
      <c r="B193" s="4">
        <v>1</v>
      </c>
      <c r="C193" s="10"/>
      <c r="D193" s="10"/>
    </row>
    <row r="194" spans="1:4" ht="14.25" thickBot="1" x14ac:dyDescent="0.3">
      <c r="A194" s="3" t="s">
        <v>29</v>
      </c>
      <c r="B194" s="3">
        <v>1</v>
      </c>
      <c r="C194" s="93" t="s">
        <v>52</v>
      </c>
      <c r="D194" s="11"/>
    </row>
    <row r="195" spans="1:4" ht="14.25" thickBot="1" x14ac:dyDescent="0.3">
      <c r="A195" s="12" t="s">
        <v>22</v>
      </c>
      <c r="B195" s="12">
        <f>SUM(B185:B194)</f>
        <v>12</v>
      </c>
      <c r="C195" s="88" t="s">
        <v>39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 t="s">
        <v>33</v>
      </c>
      <c r="B199" s="4">
        <v>12</v>
      </c>
      <c r="C199" s="91" t="s">
        <v>53</v>
      </c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93"/>
      <c r="D208" s="11"/>
    </row>
    <row r="209" spans="1:4" ht="14.25" thickBot="1" x14ac:dyDescent="0.3">
      <c r="A209" s="12" t="s">
        <v>22</v>
      </c>
      <c r="B209" s="12">
        <f>SUM(B199:B208)</f>
        <v>12</v>
      </c>
      <c r="C209" s="88" t="s">
        <v>39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 t="s">
        <v>33</v>
      </c>
      <c r="B213" s="4">
        <v>12</v>
      </c>
      <c r="C213" s="91" t="s">
        <v>54</v>
      </c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93"/>
      <c r="D222" s="11"/>
    </row>
    <row r="223" spans="1:4" ht="14.25" thickBot="1" x14ac:dyDescent="0.3">
      <c r="A223" s="12" t="s">
        <v>22</v>
      </c>
      <c r="B223" s="12">
        <f>SUM(B213:B222)</f>
        <v>12</v>
      </c>
      <c r="C223" s="88" t="s">
        <v>39</v>
      </c>
      <c r="D223" s="13"/>
    </row>
    <row r="224" spans="1:4" ht="14.25" x14ac:dyDescent="0.3">
      <c r="A224" s="14"/>
      <c r="B224" s="14"/>
      <c r="C224" s="14"/>
      <c r="D224" s="14"/>
    </row>
    <row r="225" spans="1:1" x14ac:dyDescent="0.25">
      <c r="A225" s="89" t="s">
        <v>40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dos Santos de Pereira da Silva Gonçalo</dc:creator>
  <cp:lastModifiedBy>dos Santos de Pereira da Silva Gonçalo</cp:lastModifiedBy>
  <cp:lastPrinted>2013-08-29T11:33:15Z</cp:lastPrinted>
  <dcterms:created xsi:type="dcterms:W3CDTF">1996-10-21T11:03:58Z</dcterms:created>
  <dcterms:modified xsi:type="dcterms:W3CDTF">2019-02-11T10:18:04Z</dcterms:modified>
</cp:coreProperties>
</file>